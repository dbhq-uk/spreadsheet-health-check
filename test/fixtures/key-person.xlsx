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in</v>
      </c>
      <c r="B1" t="str">
        <v>opaque</v>
      </c>
      <c r="C1" t="str">
        <v>complex</v>
      </c>
      <c r="D1" t="str">
        <v>sprawl</v>
      </c>
    </row>
    <row r="2">
      <c r="A2">
        <v>1</v>
      </c>
      <c r="B2">
        <f>INDIRECT("A"&amp;2)*OFFSET($A$1,0,0)</f>
      </c>
      <c r="C2">
        <f>IF(A2&gt;1,IF(A2&gt;2,IF(A2&gt;3,IF(A2&gt;4,IF(A2&gt;5,IF(A2&gt;6,IF(A2&gt;7,INDEX($A$2:$A$31,MATCH(A2,$A$2:$A$31,0))+INDEX($A$2:$A$31,MATCH(A2,$A$2:$A$31,0)),0),0),0),0),0),0),0)</f>
      </c>
      <c r="D2">
        <f>SUM(A2:A2)+1</f>
      </c>
    </row>
    <row r="3">
      <c r="A3">
        <v>2</v>
      </c>
      <c r="B3">
        <f>INDIRECT("A"&amp;3)*OFFSET($A$1,1,0)</f>
      </c>
      <c r="C3">
        <f>IF(A3&gt;1,IF(A3&gt;2,IF(A3&gt;3,IF(A3&gt;4,IF(A3&gt;5,IF(A3&gt;6,IF(A3&gt;7,INDEX($A$2:$A$31,MATCH(A3,$A$2:$A$31,0))+INDEX($A$2:$A$31,MATCH(A3,$A$2:$A$31,0)),0),0),0),0),0),0),0)</f>
      </c>
      <c r="D3">
        <f>MAX(A2:A3)-2</f>
      </c>
    </row>
    <row r="4">
      <c r="A4">
        <v>3</v>
      </c>
      <c r="B4">
        <f>INDIRECT("A"&amp;4)*OFFSET($A$1,2,0)</f>
      </c>
      <c r="C4">
        <f>IF(A4&gt;1,IF(A4&gt;2,IF(A4&gt;3,IF(A4&gt;4,IF(A4&gt;5,IF(A4&gt;6,IF(A4&gt;7,INDEX($A$2:$A$31,MATCH(A4,$A$2:$A$31,0))+INDEX($A$2:$A$31,MATCH(A4,$A$2:$A$31,0)),0),0),0),0),0),0),0)</f>
      </c>
      <c r="D4">
        <f>MIN(A2:A4)*3</f>
      </c>
    </row>
    <row r="5">
      <c r="A5">
        <v>4</v>
      </c>
      <c r="B5">
        <f>INDIRECT("A"&amp;5)*OFFSET($A$1,3,0)</f>
      </c>
      <c r="C5">
        <f>IF(A5&gt;1,IF(A5&gt;2,IF(A5&gt;3,IF(A5&gt;4,IF(A5&gt;5,IF(A5&gt;6,IF(A5&gt;7,INDEX($A$2:$A$31,MATCH(A5,$A$2:$A$31,0))+INDEX($A$2:$A$31,MATCH(A5,$A$2:$A$31,0)),0),0),0),0),0),0),0)</f>
      </c>
      <c r="D5">
        <f>AVERAGE(A4:A5)/4</f>
      </c>
    </row>
    <row r="6">
      <c r="A6">
        <v>5</v>
      </c>
      <c r="B6">
        <f>INDIRECT("A"&amp;6)*OFFSET($A$1,4,0)</f>
      </c>
      <c r="D6">
        <f>SUM(A4:A6)+5</f>
      </c>
    </row>
    <row r="7">
      <c r="A7">
        <v>6</v>
      </c>
      <c r="B7">
        <f>INDIRECT("A"&amp;7)*OFFSET($A$1,5,0)</f>
      </c>
      <c r="D7">
        <f>MAX(A4:A7)-6</f>
      </c>
    </row>
    <row r="8">
      <c r="A8">
        <v>7</v>
      </c>
      <c r="D8">
        <f>MIN(A7:A8)*7</f>
      </c>
    </row>
    <row r="9">
      <c r="A9">
        <v>8</v>
      </c>
      <c r="D9">
        <f>AVERAGE(A7:A9)/8</f>
      </c>
    </row>
    <row r="10">
      <c r="A10">
        <v>9</v>
      </c>
      <c r="D10">
        <f>SUM(A7:A10)+9</f>
      </c>
    </row>
    <row r="11">
      <c r="A11">
        <v>10</v>
      </c>
      <c r="D11">
        <f>MAX(A10:A11)-1</f>
      </c>
    </row>
    <row r="12">
      <c r="A12">
        <v>11</v>
      </c>
      <c r="D12">
        <f>MIN(A10:A12)*2</f>
      </c>
    </row>
    <row r="13">
      <c r="A13">
        <v>12</v>
      </c>
      <c r="D13">
        <f>AVERAGE(A10:A13)/3</f>
      </c>
    </row>
    <row r="14">
      <c r="A14">
        <v>13</v>
      </c>
      <c r="D14">
        <f>SUM(A13:A14)+4</f>
      </c>
    </row>
    <row r="15">
      <c r="A15">
        <v>14</v>
      </c>
      <c r="D15">
        <f>MAX(A13:A15)-5</f>
      </c>
    </row>
    <row r="16">
      <c r="A16">
        <v>15</v>
      </c>
      <c r="D16">
        <f>MIN(A13:A16)*6</f>
      </c>
    </row>
    <row r="17">
      <c r="A17">
        <v>16</v>
      </c>
      <c r="D17">
        <f>AVERAGE(A16:A17)/7</f>
      </c>
    </row>
    <row r="18">
      <c r="A18">
        <v>17</v>
      </c>
      <c r="D18">
        <f>SUM(A16:A18)+8</f>
      </c>
    </row>
    <row r="19">
      <c r="A19">
        <v>18</v>
      </c>
      <c r="D19">
        <f>MAX(A16:A19)-9</f>
      </c>
    </row>
    <row r="20">
      <c r="A20">
        <v>19</v>
      </c>
      <c r="D20">
        <f>MIN(A19:A20)*1</f>
      </c>
    </row>
    <row r="21">
      <c r="A21">
        <v>20</v>
      </c>
      <c r="D21">
        <f>AVERAGE(A19:A21)/2</f>
      </c>
    </row>
    <row r="22">
      <c r="A22">
        <v>21</v>
      </c>
      <c r="D22">
        <f>SUM(A19:A22)+3</f>
      </c>
    </row>
    <row r="23">
      <c r="A23">
        <v>22</v>
      </c>
      <c r="D23">
        <f>MAX(A22:A23)-4</f>
      </c>
    </row>
    <row r="24">
      <c r="A24">
        <v>23</v>
      </c>
      <c r="D24">
        <f>MIN(A22:A24)*5</f>
      </c>
    </row>
    <row r="25">
      <c r="A25">
        <v>24</v>
      </c>
      <c r="D25">
        <f>AVERAGE(A22:A25)/6</f>
      </c>
    </row>
    <row r="26">
      <c r="A26">
        <v>25</v>
      </c>
      <c r="D26">
        <f>SUM(A25:A26)+7</f>
      </c>
    </row>
    <row r="27">
      <c r="A27">
        <v>26</v>
      </c>
      <c r="D27">
        <f>MAX(A25:A27)-8</f>
      </c>
    </row>
    <row r="28">
      <c r="A28">
        <v>27</v>
      </c>
      <c r="D28">
        <f>MIN(A25:A28)*9</f>
      </c>
    </row>
    <row r="29">
      <c r="A29">
        <v>28</v>
      </c>
      <c r="D29">
        <f>AVERAGE(A28:A29)/1</f>
      </c>
    </row>
    <row r="30">
      <c r="A30">
        <v>29</v>
      </c>
      <c r="D30">
        <f>SUM(A28:A30)+2</f>
      </c>
    </row>
    <row r="31">
      <c r="A31">
        <v>30</v>
      </c>
      <c r="D31">
        <f>MAX(A28:A31)-3</f>
      </c>
    </row>
  </sheetData>
  <ignoredErrors>
    <ignoredError numberStoredAsText="1" sqref="A1:D31"/>
  </ignoredErrors>
  <sheetProtection sheet="1" objects="1" scenario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