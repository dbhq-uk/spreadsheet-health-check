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" sheetId="1" r:id="rId1"/>
    <sheet name="Summary" sheetId="2" r:id="rId2"/>
    <sheet name="Jan" sheetId="3" r:id="rId3"/>
    <sheet name="Feb" sheetId="4" r:id="rId4"/>
    <sheet name="Mar" sheetId="5" r:id="rId5"/>
    <sheet name="Apr" sheetId="6" r:id="rId6"/>
    <sheet name="May" sheetId="7" r:id="rId7"/>
    <sheet name="Jun" sheetId="8" r:id="rId8"/>
    <sheet name="Old_Rates" sheetId="9" r:id="rId9" state="hidden"/>
    <sheet name="Working" sheetId="10" r:id="rId10" state="veryHidden"/>
  </sheets>
  <calcPr calcMode="manual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Meridian Supplies - price list and margins</v>
      </c>
    </row>
    <row r="2">
      <c r="A2" t="str">
        <v>Product</v>
      </c>
      <c r="B2" t="str">
        <v>Cost</v>
      </c>
      <c r="C2" t="str">
        <v>Markup</v>
      </c>
      <c r="D2" t="str">
        <v>Net price</v>
      </c>
      <c r="E2" t="str">
        <v>Price inc VAT</v>
      </c>
      <c r="F2" t="str">
        <v>Margin %</v>
      </c>
    </row>
    <row r="3">
      <c r="A3" t="str">
        <v>Product A1</v>
      </c>
      <c r="B3">
        <v>10</v>
      </c>
      <c r="C3">
        <v>1.4</v>
      </c>
      <c r="D3">
        <f>B3*C3</f>
        <v>0</v>
      </c>
      <c r="E3">
        <f>D3*1.2</f>
        <v>0</v>
      </c>
      <c r="F3">
        <f>(D3-B3)/D3</f>
        <v>0</v>
      </c>
    </row>
    <row r="4">
      <c r="A4" t="str">
        <v>Product B2</v>
      </c>
      <c r="B4">
        <v>11.5</v>
      </c>
      <c r="C4">
        <v>1.4</v>
      </c>
      <c r="D4">
        <f>B4*C4</f>
        <v>0</v>
      </c>
      <c r="E4">
        <f>D4*1.2</f>
        <v>0</v>
      </c>
      <c r="F4">
        <f>(D4-B4)/D4</f>
        <v>0</v>
      </c>
    </row>
    <row r="5">
      <c r="A5" t="str">
        <v>Product C3</v>
      </c>
      <c r="B5">
        <v>13</v>
      </c>
      <c r="C5">
        <v>1.4</v>
      </c>
      <c r="D5">
        <f>B5*C5</f>
        <v>0</v>
      </c>
      <c r="E5">
        <f>D5*1.2</f>
        <v>0</v>
      </c>
      <c r="F5">
        <f>(D5-B5)/D5</f>
        <v>0</v>
      </c>
    </row>
    <row r="6">
      <c r="A6" t="str">
        <v>Product D4</v>
      </c>
      <c r="B6">
        <v>14.5</v>
      </c>
      <c r="C6">
        <v>1.4</v>
      </c>
      <c r="D6">
        <f>B6*C6</f>
        <v>0</v>
      </c>
      <c r="E6">
        <f>D6*1.2</f>
        <v>0</v>
      </c>
      <c r="F6">
        <f>(D6-B6)/D6</f>
        <v>0</v>
      </c>
    </row>
    <row r="7">
      <c r="A7" t="str">
        <v>Product E5</v>
      </c>
      <c r="B7">
        <v>16</v>
      </c>
      <c r="C7">
        <v>1.4</v>
      </c>
      <c r="D7">
        <f>B7*C7</f>
        <v>0</v>
      </c>
      <c r="E7">
        <f>D7*1.2</f>
        <v>0</v>
      </c>
      <c r="F7">
        <f>(D7-B7)/D7</f>
        <v>0</v>
      </c>
    </row>
    <row r="8">
      <c r="A8" t="str">
        <v>Product F6</v>
      </c>
      <c r="B8">
        <v>17.5</v>
      </c>
      <c r="C8">
        <v>1.4</v>
      </c>
      <c r="D8">
        <f>B8*C8</f>
        <v>0</v>
      </c>
      <c r="E8">
        <f>D8*1.2</f>
        <v>0</v>
      </c>
      <c r="F8">
        <f>(D8-B8)/D8</f>
        <v>0</v>
      </c>
    </row>
    <row r="9">
      <c r="A9" t="str">
        <v>Product G7</v>
      </c>
      <c r="B9">
        <v>19</v>
      </c>
      <c r="C9">
        <v>1.4</v>
      </c>
      <c r="D9">
        <f>B9*C9</f>
        <v>0</v>
      </c>
      <c r="E9">
        <f>D9*1.2</f>
        <v>0</v>
      </c>
      <c r="F9">
        <f>(D9-B9)/D9</f>
        <v>0</v>
      </c>
    </row>
    <row r="10">
      <c r="A10" t="str">
        <v>Product H8</v>
      </c>
      <c r="B10">
        <v>20.5</v>
      </c>
      <c r="C10">
        <v>1.4</v>
      </c>
      <c r="D10">
        <f>B10*C10</f>
        <v>0</v>
      </c>
      <c r="E10">
        <f>D10*1.2</f>
        <v>0</v>
      </c>
      <c r="F10">
        <f>(D10-B10)/D10</f>
        <v>0</v>
      </c>
    </row>
    <row r="11">
      <c r="A11" t="str">
        <v>Product I9</v>
      </c>
      <c r="B11">
        <v>22</v>
      </c>
      <c r="C11">
        <v>1.4</v>
      </c>
      <c r="D11">
        <f>B11*C11</f>
        <v>0</v>
      </c>
      <c r="E11">
        <f>D11*1.2</f>
        <v>0</v>
      </c>
      <c r="F11">
        <f>(D11-B11)/D11</f>
        <v>0</v>
      </c>
    </row>
    <row r="12">
      <c r="A12" t="str">
        <v>Product J10</v>
      </c>
      <c r="B12">
        <v>23.5</v>
      </c>
      <c r="C12">
        <v>1.4</v>
      </c>
      <c r="D12">
        <f>B12*C12</f>
        <v>0</v>
      </c>
      <c r="E12">
        <f>D12*1.2</f>
        <v>0</v>
      </c>
      <c r="F12">
        <f>(D12-B12)/D12</f>
        <v>0</v>
      </c>
    </row>
    <row r="13">
      <c r="A13" t="str">
        <v>Product K11</v>
      </c>
      <c r="B13">
        <v>25</v>
      </c>
      <c r="C13">
        <v>1.4</v>
      </c>
      <c r="D13">
        <f>B13*C13</f>
        <v>0</v>
      </c>
      <c r="E13">
        <f>D13*1.2</f>
        <v>0</v>
      </c>
      <c r="F13">
        <f>(D13-B13)/D13</f>
        <v>0</v>
      </c>
    </row>
    <row r="14">
      <c r="A14" t="str">
        <v>Product L12</v>
      </c>
      <c r="B14">
        <v>26.5</v>
      </c>
      <c r="C14">
        <v>1.4</v>
      </c>
      <c r="D14">
        <f>B14*C14</f>
        <v>0</v>
      </c>
      <c r="E14">
        <f>D14*1.2</f>
        <v>0</v>
      </c>
      <c r="F14">
        <f>(D14-B14)/B14</f>
        <v>0</v>
      </c>
    </row>
    <row r="15">
      <c r="A15" t="str">
        <v>Product M13</v>
      </c>
      <c r="B15">
        <v>28</v>
      </c>
      <c r="C15">
        <v>1.4</v>
      </c>
      <c r="D15">
        <f>B15*C15</f>
        <v>0</v>
      </c>
      <c r="E15">
        <f>D15*1.2</f>
        <v>0</v>
      </c>
      <c r="F15">
        <f>(D15-B15)/D15</f>
        <v>0</v>
      </c>
    </row>
    <row r="16">
      <c r="A16" t="str">
        <v>Product N14</v>
      </c>
      <c r="B16">
        <v>29.5</v>
      </c>
      <c r="C16">
        <v>1.4</v>
      </c>
      <c r="D16">
        <f>B16*C16</f>
        <v>0</v>
      </c>
      <c r="E16">
        <f>D16*1.2</f>
        <v>0</v>
      </c>
      <c r="F16">
        <f>(D16-B16)/D16</f>
        <v>0</v>
      </c>
    </row>
    <row r="17">
      <c r="A17" t="str">
        <v>Product O15</v>
      </c>
      <c r="B17">
        <v>31</v>
      </c>
      <c r="C17">
        <v>1.4</v>
      </c>
      <c r="D17">
        <f>B17*C17</f>
        <v>0</v>
      </c>
      <c r="E17">
        <f>D17*1.2</f>
        <v>0</v>
      </c>
      <c r="F17">
        <f>(D17-B17)/D17</f>
        <v>0</v>
      </c>
    </row>
    <row r="18">
      <c r="A18" t="str">
        <v>Product P16</v>
      </c>
      <c r="B18">
        <v>32.5</v>
      </c>
      <c r="C18">
        <v>1.4</v>
      </c>
      <c r="D18">
        <f>B18*C18</f>
        <v>0</v>
      </c>
      <c r="E18">
        <f>D18*1.2</f>
        <v>0</v>
      </c>
      <c r="F18">
        <f>(D18-B18)/D18</f>
        <v>0</v>
      </c>
    </row>
    <row r="19">
      <c r="A19" t="str">
        <v>Product Q17</v>
      </c>
      <c r="B19">
        <v>34</v>
      </c>
      <c r="C19">
        <v>1.4</v>
      </c>
      <c r="D19">
        <f>B19*C19</f>
        <v>0</v>
      </c>
      <c r="E19">
        <f>D19*1.2</f>
        <v>0</v>
      </c>
      <c r="F19">
        <f>(D19-B19)/D19</f>
        <v>0</v>
      </c>
    </row>
    <row r="20">
      <c r="A20" t="str">
        <v>Product R18</v>
      </c>
      <c r="B20">
        <v>35.5</v>
      </c>
      <c r="C20">
        <v>1.4</v>
      </c>
      <c r="D20">
        <f>B20*C20</f>
        <v>0</v>
      </c>
      <c r="E20">
        <f>D20*1.2</f>
        <v>0</v>
      </c>
      <c r="F20">
        <f>(D20-B20)/D20</f>
        <v>0</v>
      </c>
    </row>
    <row r="21">
      <c r="A21" t="str">
        <v>Product S19</v>
      </c>
      <c r="B21">
        <v>37</v>
      </c>
      <c r="C21">
        <v>1.4</v>
      </c>
      <c r="D21">
        <f>B21*C21</f>
        <v>0</v>
      </c>
      <c r="E21">
        <f>D21*1.2</f>
        <v>0</v>
      </c>
      <c r="F21">
        <f>(D21-B21)/D21</f>
        <v>0</v>
      </c>
    </row>
    <row r="22">
      <c r="A22" t="str">
        <v>Product T20</v>
      </c>
      <c r="B22">
        <v>38.5</v>
      </c>
      <c r="C22">
        <v>1.4</v>
      </c>
      <c r="D22">
        <f>B22*C22</f>
        <v>0</v>
      </c>
      <c r="E22">
        <f>D22*1.2</f>
        <v>0</v>
      </c>
      <c r="F22">
        <f>(D22-B22)/D22</f>
        <v>0</v>
      </c>
    </row>
    <row r="23">
      <c r="A23" t="str">
        <v>Product U21</v>
      </c>
      <c r="B23">
        <v>40</v>
      </c>
      <c r="C23">
        <v>1.4</v>
      </c>
      <c r="D23">
        <f>B23*C23</f>
        <v>0</v>
      </c>
      <c r="E23">
        <f>D23*1.2</f>
        <v>0</v>
      </c>
      <c r="F23">
        <f>(D23-B23)/D23</f>
        <v>0</v>
      </c>
    </row>
    <row r="24">
      <c r="A24" t="str">
        <v>Product V22</v>
      </c>
      <c r="B24">
        <v>41.5</v>
      </c>
      <c r="C24">
        <v>1.4</v>
      </c>
      <c r="D24">
        <f>B24*C24</f>
        <v>0</v>
      </c>
      <c r="E24">
        <f>D24*1.2</f>
        <v>0</v>
      </c>
      <c r="F24">
        <f>(D24-B24)/D24</f>
        <v>0</v>
      </c>
    </row>
    <row r="25">
      <c r="A25" t="str">
        <v>Product W23</v>
      </c>
      <c r="B25">
        <v>43</v>
      </c>
      <c r="C25">
        <v>1.4</v>
      </c>
      <c r="D25">
        <f>B25*C25</f>
        <v>0</v>
      </c>
      <c r="E25">
        <f>D25*1.2</f>
        <v>0</v>
      </c>
      <c r="F25">
        <f>(D25-B25)/D25</f>
        <v>0</v>
      </c>
    </row>
    <row r="26">
      <c r="A26" t="str">
        <v>Product X24</v>
      </c>
      <c r="B26">
        <v>44.5</v>
      </c>
      <c r="C26">
        <v>1.4</v>
      </c>
      <c r="D26">
        <f>B26*C26</f>
        <v>0</v>
      </c>
      <c r="E26">
        <f>D26*1.2</f>
        <v>0</v>
      </c>
      <c r="F26">
        <f>(D26-B26)/D26</f>
        <v>0</v>
      </c>
    </row>
    <row r="27">
      <c r="A27" t="str">
        <v>Discontinued line</v>
      </c>
      <c r="B27">
        <v>0</v>
      </c>
      <c r="C27">
        <v>1.4</v>
      </c>
      <c r="D27">
        <f>B27*C27</f>
        <v>0</v>
      </c>
      <c r="E27">
        <f>D27*1.2</f>
        <v>0</v>
      </c>
      <c r="F27" t="e">
        <v>#DIV/0!</v>
      </c>
    </row>
    <row r="28">
      <c r="A28" t="str">
        <v>Old supplier ref</v>
      </c>
      <c r="B28" t="e">
        <v>#REF!</v>
      </c>
      <c r="C28">
        <v>1.4</v>
      </c>
      <c r="D28">
        <v>0</v>
      </c>
      <c r="E28">
        <v>0</v>
      </c>
      <c r="F28">
        <v>0</v>
      </c>
    </row>
  </sheetData>
  <mergeCells count="2">
    <mergeCell ref="A1:F1"/>
    <mergeCell ref="A27:A28"/>
  </mergeCells>
  <ignoredErrors>
    <ignoredError numberStoredAsText="1" sqref="A1:F28"/>
  </ignoredErrors>
  <sheetProtection sheet="1" objects="1" scenarios="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Board summary</v>
      </c>
      <c r="B1" t="str">
        <v/>
      </c>
      <c r="C1" t="str">
        <v/>
      </c>
    </row>
    <row r="2">
      <c r="A2" t="str">
        <v>Metric</v>
      </c>
      <c r="B2" t="str">
        <v>Value</v>
      </c>
      <c r="C2" t="str">
        <v>Source</v>
      </c>
    </row>
    <row r="3">
      <c r="A3" t="str">
        <v>Total net</v>
      </c>
      <c r="B3">
        <f>SUM(Pricing!D3:D26)</f>
        <v>0</v>
      </c>
      <c r="C3" t="str">
        <v>Pricing</v>
      </c>
    </row>
    <row r="4">
      <c r="A4" t="str">
        <v>Total inc VAT</v>
      </c>
      <c r="B4">
        <f>SUM(Pricing!E3:E26)</f>
        <v>0</v>
      </c>
      <c r="C4" t="str">
        <v>Pricing</v>
      </c>
    </row>
    <row r="5">
      <c r="A5" t="str">
        <v>Current month</v>
      </c>
      <c r="B5">
        <f>SUM(INDIRECT("'"&amp;B7&amp;"'!D2:D5"))</f>
        <v>0</v>
      </c>
      <c r="C5" t="str">
        <v>Whichever sheet B7 names</v>
      </c>
    </row>
    <row r="6">
      <c r="A6" t="str">
        <v>Rolling 3 month</v>
      </c>
      <c r="B6">
        <f>SUM(OFFSET(Jan!D2,0,0,3,1))</f>
        <v>0</v>
      </c>
      <c r="C6" t="str">
        <v>Offset from Jan</v>
      </c>
    </row>
    <row r="7">
      <c r="A7" t="str">
        <v>Sheet</v>
      </c>
      <c r="B7" t="str">
        <v>Mar</v>
      </c>
      <c r="C7" t="str">
        <v/>
      </c>
    </row>
    <row r="8">
      <c r="A8" t="str">
        <v>Blended margin</v>
      </c>
      <c r="B8">
        <f>IF(B3&gt;0,IF(B4&gt;0,IF(B5&gt;0,IF(B6&gt;0,INDEX(Pricing!F3:F26,MATCH(MAX(Pricing!F3:F26),Pricing!F3:F26,0))*0.4+INDEX(Pricing!F3:F26,MATCH(MIN(Pricing!F3:F26),Pricing!F3:F26,0))*0.6,0),0),0),0)</f>
        <v>0</v>
      </c>
      <c r="C8" t="str">
        <v>Do not touch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Customer</v>
      </c>
      <c r="B1" t="str">
        <v>Units</v>
      </c>
      <c r="C1" t="str">
        <v>Unit price</v>
      </c>
      <c r="D1" t="str">
        <v>Revenue</v>
      </c>
    </row>
    <row r="2">
      <c r="A2" t="str">
        <v>Ashby Ltd</v>
      </c>
      <c r="B2">
        <v>12</v>
      </c>
      <c r="C2">
        <v>24.5</v>
      </c>
      <c r="D2">
        <f>B2*C2</f>
        <v>0</v>
      </c>
    </row>
    <row r="3">
      <c r="A3" t="str">
        <v>Brackley Co</v>
      </c>
      <c r="B3">
        <v>8</v>
      </c>
      <c r="C3">
        <v>24.5</v>
      </c>
      <c r="D3">
        <f>B3*C3</f>
        <v>0</v>
      </c>
    </row>
    <row r="4">
      <c r="A4" t="str">
        <v>Colefax</v>
      </c>
      <c r="B4">
        <v>15</v>
      </c>
      <c r="C4">
        <v>24.5</v>
      </c>
      <c r="D4">
        <f>B4*C4</f>
        <v>0</v>
      </c>
    </row>
    <row r="5">
      <c r="A5" t="str">
        <v>Dunmore</v>
      </c>
      <c r="B5">
        <v>6</v>
      </c>
      <c r="C5">
        <v>24.5</v>
      </c>
      <c r="D5">
        <f>B5*C5</f>
        <v>0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Customer</v>
      </c>
      <c r="B1" t="str">
        <v>Units</v>
      </c>
      <c r="C1" t="str">
        <v>Unit price</v>
      </c>
      <c r="D1" t="str">
        <v>Revenue</v>
      </c>
    </row>
    <row r="2">
      <c r="A2" t="str">
        <v>Ashby Ltd</v>
      </c>
      <c r="B2">
        <v>12</v>
      </c>
      <c r="C2">
        <v>24.5</v>
      </c>
      <c r="D2">
        <f>B2*C2</f>
        <v>0</v>
      </c>
    </row>
    <row r="3">
      <c r="A3" t="str">
        <v>Brackley Co</v>
      </c>
      <c r="B3">
        <v>8</v>
      </c>
      <c r="C3">
        <v>24.5</v>
      </c>
      <c r="D3">
        <f>B3*C3</f>
        <v>0</v>
      </c>
    </row>
    <row r="4">
      <c r="A4" t="str">
        <v>Colefax</v>
      </c>
      <c r="B4">
        <v>15</v>
      </c>
      <c r="C4">
        <v>24.5</v>
      </c>
      <c r="D4">
        <f>B4*C4</f>
        <v>0</v>
      </c>
    </row>
    <row r="5">
      <c r="A5" t="str">
        <v>Dunmore</v>
      </c>
      <c r="B5">
        <v>6</v>
      </c>
      <c r="C5">
        <v>24.5</v>
      </c>
      <c r="D5">
        <f>B5*C5</f>
        <v>0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Customer</v>
      </c>
      <c r="B1" t="str">
        <v>Units</v>
      </c>
      <c r="C1" t="str">
        <v>Unit price</v>
      </c>
      <c r="D1" t="str">
        <v>Revenue</v>
      </c>
    </row>
    <row r="2">
      <c r="A2" t="str">
        <v>Ashby Ltd</v>
      </c>
      <c r="B2">
        <v>12</v>
      </c>
      <c r="C2">
        <v>24.5</v>
      </c>
      <c r="D2">
        <f>B2*C2</f>
        <v>0</v>
      </c>
    </row>
    <row r="3">
      <c r="A3" t="str">
        <v>Brackley Co</v>
      </c>
      <c r="B3">
        <v>8</v>
      </c>
      <c r="C3">
        <v>24.5</v>
      </c>
      <c r="D3">
        <f>B3*C3</f>
        <v>0</v>
      </c>
    </row>
    <row r="4">
      <c r="A4" t="str">
        <v>Colefax</v>
      </c>
      <c r="B4">
        <v>15</v>
      </c>
      <c r="C4">
        <v>24.5</v>
      </c>
      <c r="D4">
        <f>B4*C4</f>
        <v>0</v>
      </c>
    </row>
    <row r="5">
      <c r="A5" t="str">
        <v>Dunmore</v>
      </c>
      <c r="B5">
        <v>6</v>
      </c>
      <c r="C5">
        <v>24.5</v>
      </c>
      <c r="D5">
        <f>B5*C5</f>
        <v>0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Customer</v>
      </c>
      <c r="B1" t="str">
        <v>Units</v>
      </c>
      <c r="C1" t="str">
        <v>Unit price</v>
      </c>
      <c r="D1" t="str">
        <v>Revenue</v>
      </c>
    </row>
    <row r="2">
      <c r="A2" t="str">
        <v>Ashby Ltd</v>
      </c>
      <c r="B2">
        <v>12</v>
      </c>
      <c r="C2">
        <v>24.5</v>
      </c>
      <c r="D2">
        <f>B2*C2</f>
        <v>0</v>
      </c>
    </row>
    <row r="3">
      <c r="A3" t="str">
        <v>Brackley Co</v>
      </c>
      <c r="B3">
        <v>8</v>
      </c>
      <c r="C3">
        <v>24.5</v>
      </c>
      <c r="D3">
        <f>B3*C3</f>
        <v>0</v>
      </c>
    </row>
    <row r="4">
      <c r="A4" t="str">
        <v>Colefax</v>
      </c>
      <c r="B4">
        <v>15</v>
      </c>
      <c r="C4">
        <v>24.5</v>
      </c>
      <c r="D4">
        <f>B4*C4</f>
        <v>0</v>
      </c>
    </row>
    <row r="5">
      <c r="A5" t="str">
        <v>Dunmore</v>
      </c>
      <c r="B5">
        <v>6</v>
      </c>
      <c r="C5">
        <v>24.5</v>
      </c>
      <c r="D5">
        <f>B5*C5</f>
        <v>0</v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Customer</v>
      </c>
      <c r="B1" t="str">
        <v>Units</v>
      </c>
      <c r="C1" t="str">
        <v>Unit price</v>
      </c>
      <c r="D1" t="str">
        <v>Revenue</v>
      </c>
    </row>
    <row r="2">
      <c r="A2" t="str">
        <v>Ashby Ltd</v>
      </c>
      <c r="B2">
        <v>12</v>
      </c>
      <c r="C2">
        <v>24.5</v>
      </c>
      <c r="D2">
        <f>B2*C2</f>
        <v>0</v>
      </c>
    </row>
    <row r="3">
      <c r="A3" t="str">
        <v>Brackley Co</v>
      </c>
      <c r="B3">
        <v>8</v>
      </c>
      <c r="C3">
        <v>24.5</v>
      </c>
      <c r="D3">
        <f>B3*C3</f>
        <v>0</v>
      </c>
    </row>
    <row r="4">
      <c r="A4" t="str">
        <v>Colefax</v>
      </c>
      <c r="B4">
        <v>15</v>
      </c>
      <c r="C4">
        <v>24.5</v>
      </c>
      <c r="D4">
        <f>B4*C4</f>
        <v>0</v>
      </c>
    </row>
    <row r="5">
      <c r="A5" t="str">
        <v>Dunmore</v>
      </c>
      <c r="B5">
        <v>6</v>
      </c>
      <c r="C5">
        <v>24.5</v>
      </c>
      <c r="D5">
        <f>B5*C5</f>
        <v>0</v>
      </c>
    </row>
  </sheetData>
  <ignoredErrors>
    <ignoredError numberStoredAsText="1" sqref="A1:D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Customer</v>
      </c>
      <c r="B1" t="str">
        <v>Units</v>
      </c>
      <c r="C1" t="str">
        <v>Unit price</v>
      </c>
      <c r="D1" t="str">
        <v>Revenue</v>
      </c>
    </row>
    <row r="2">
      <c r="A2" t="str">
        <v>Ashby Ltd</v>
      </c>
      <c r="B2">
        <v>12</v>
      </c>
      <c r="C2">
        <v>24.5</v>
      </c>
      <c r="D2">
        <f>B2*C2</f>
        <v>0</v>
      </c>
    </row>
    <row r="3">
      <c r="A3" t="str">
        <v>Brackley Co</v>
      </c>
      <c r="B3">
        <v>8</v>
      </c>
      <c r="C3">
        <v>24.5</v>
      </c>
      <c r="D3">
        <f>B3*C3</f>
        <v>0</v>
      </c>
    </row>
    <row r="4">
      <c r="A4" t="str">
        <v>Colefax</v>
      </c>
      <c r="B4">
        <v>15</v>
      </c>
      <c r="C4">
        <v>24.5</v>
      </c>
      <c r="D4">
        <f>B4*C4</f>
        <v>0</v>
      </c>
    </row>
    <row r="5">
      <c r="A5" t="str">
        <v>Dunmore</v>
      </c>
      <c r="B5">
        <v>6</v>
      </c>
      <c r="C5">
        <v>24.5</v>
      </c>
      <c r="D5">
        <f>B5*C5</f>
        <v>0</v>
      </c>
    </row>
  </sheetData>
  <ignoredErrors>
    <ignoredError numberStoredAsText="1" sqref="A1:D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Old rates - superseded, do not delete</v>
      </c>
    </row>
    <row r="2">
      <c r="A2" t="str">
        <v>VAT</v>
      </c>
      <c r="B2">
        <v>0.175</v>
      </c>
    </row>
    <row r="3">
      <c r="A3" t="str">
        <v>Markup</v>
      </c>
      <c r="B3">
        <v>1.35</v>
      </c>
    </row>
  </sheetData>
  <ignoredErrors>
    <ignoredError numberStoredAsText="1" sqref="A1:B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scratch</v>
      </c>
    </row>
    <row r="2">
      <c r="A2" t="str">
        <v>do not delete - the Summary breaks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Pricing</vt:lpstr>
      <vt:lpstr>Summary</vt:lpstr>
      <vt:lpstr>Jan</vt:lpstr>
      <vt:lpstr>Feb</vt:lpstr>
      <vt:lpstr>Mar</vt:lpstr>
      <vt:lpstr>Apr</vt:lpstr>
      <vt:lpstr>May</vt:lpstr>
      <vt:lpstr>Jun</vt:lpstr>
      <vt:lpstr>Old_Rates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Whitfield</cp:lastModifiedBy>
  <dc:creator>Sam Whitfield</dc:creator>
</cp:coreProperties>
</file>